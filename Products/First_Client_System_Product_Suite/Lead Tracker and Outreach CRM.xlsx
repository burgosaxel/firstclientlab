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burgo\Projects\First Client Lab\Products\First_Client_System_Product_Suite\"/>
    </mc:Choice>
  </mc:AlternateContent>
  <xr:revisionPtr revIDLastSave="0" documentId="13_ncr:1_{FB28E1E9-0F5F-45A2-A0D1-16A71E37271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Leads" sheetId="1" r:id="rId1"/>
    <sheet name="Outreach Scripts" sheetId="2" r:id="rId2"/>
    <sheet name="Pipeline Dashboar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3" l="1"/>
  <c r="B8" i="3"/>
  <c r="B7" i="3"/>
  <c r="B6" i="3"/>
  <c r="B5" i="3"/>
  <c r="B4" i="3"/>
  <c r="B3" i="3"/>
  <c r="B2" i="3"/>
  <c r="B9" i="3" l="1"/>
</calcChain>
</file>

<file path=xl/sharedStrings.xml><?xml version="1.0" encoding="utf-8"?>
<sst xmlns="http://schemas.openxmlformats.org/spreadsheetml/2006/main" count="253" uniqueCount="82">
  <si>
    <t>Lead #</t>
  </si>
  <si>
    <t>Business Name</t>
  </si>
  <si>
    <t>Niche</t>
  </si>
  <si>
    <t>Website</t>
  </si>
  <si>
    <t>Instagram</t>
  </si>
  <si>
    <t>Problem Noticed</t>
  </si>
  <si>
    <t>First Contact Date</t>
  </si>
  <si>
    <t>Channel</t>
  </si>
  <si>
    <t>Status</t>
  </si>
  <si>
    <t>Follow-Up Date</t>
  </si>
  <si>
    <t>Quoted Price</t>
  </si>
  <si>
    <t>Notes</t>
  </si>
  <si>
    <t>Barbershop</t>
  </si>
  <si>
    <t>Not Contacted</t>
  </si>
  <si>
    <t>Restaurant</t>
  </si>
  <si>
    <t>Contractor</t>
  </si>
  <si>
    <t>HVAC</t>
  </si>
  <si>
    <t>Cleaning</t>
  </si>
  <si>
    <t>Landscaping</t>
  </si>
  <si>
    <t>Med Spa</t>
  </si>
  <si>
    <t>Real Estate</t>
  </si>
  <si>
    <t>Plumbing</t>
  </si>
  <si>
    <t>Electrician</t>
  </si>
  <si>
    <t>Copy</t>
  </si>
  <si>
    <t>First DM</t>
  </si>
  <si>
    <t>Hey — quick question. I came across your business and noticed your website could be doing a better job turning visitors into calls. Would you be open to a quick idea I had for yours?</t>
  </si>
  <si>
    <t>Website Weakness DM</t>
  </si>
  <si>
    <t>Hey, I checked out your site and noticed a few easy fixes that could make it look more trustworthy on mobile. I can send a quick redesign idea if you want.</t>
  </si>
  <si>
    <t>Cold Email Subject</t>
  </si>
  <si>
    <t>Quick website idea</t>
  </si>
  <si>
    <t>Cold Email Body</t>
  </si>
  <si>
    <t>Hey, I came across your business and had a quick idea for your website. I build simple redesigns for local businesses that want more calls and leads. Want me to send the idea over?</t>
  </si>
  <si>
    <t>Follow Up 1</t>
  </si>
  <si>
    <t>Just following up on this. I can send a quick visual idea, no pressure.</t>
  </si>
  <si>
    <t>Follow Up 2</t>
  </si>
  <si>
    <t>Totally understand if now is not the right time. If you ever want a cleaner site that makes it easier for customers to contact you, I can help.</t>
  </si>
  <si>
    <t>Close Ask</t>
  </si>
  <si>
    <t>Based on what you told me, I recommend a simple redesign focused on mobile trust, clear services, and a stronger contact flow. I can do it for $____ and have the first version ready by ____.</t>
  </si>
  <si>
    <t>Metric</t>
  </si>
  <si>
    <t>Value</t>
  </si>
  <si>
    <t>Total Leads</t>
  </si>
  <si>
    <t>Messaged</t>
  </si>
  <si>
    <t>Replies</t>
  </si>
  <si>
    <t>Calls Booked</t>
  </si>
  <si>
    <t>Proposals Sent</t>
  </si>
  <si>
    <t>Won</t>
  </si>
  <si>
    <t>Lost</t>
  </si>
  <si>
    <t>Win Rate</t>
  </si>
  <si>
    <t>Pipeline Value</t>
  </si>
  <si>
    <t>Hey — quick question. I came across your business and noticed your website looks a little outdated compared to the quality of work you seem to provide. Would you be open to a quick improvement idea?</t>
  </si>
  <si>
    <t>Hey, I checked out your site and noticed it could feel more modern and easier to trust, especially for first-time visitors. I can send over a quick redesign idea if you want.</t>
  </si>
  <si>
    <t>Quick website refresh idea</t>
  </si>
  <si>
    <t>Hey, I came across your business and had a quick idea for your website. It looks like you already have a solid business, but the site could be updated to look more modern and help customers feel more confident reaching out. Want me to send the idea over?</t>
  </si>
  <si>
    <t>Just following up on this. I can send a quick visual idea for how your site could look cleaner and more modern, no pressure.</t>
  </si>
  <si>
    <t>Totally understand if now is not the right time. If you ever want your website to look more current and professional, I can help.</t>
  </si>
  <si>
    <t>Based on what I saw, I recommend a simple website refresh focused on modern design, stronger trust, mobile layout, and a clearer contact path. I can do it for $____ and have the first version ready by ____.</t>
  </si>
  <si>
    <t>Hey — quick question. I came across your business and noticed it could be easier for people to contact you from your website. Would you be open to a quick idea?</t>
  </si>
  <si>
    <t>Hey, I checked out your site and noticed the contact flow could be stronger. A few small changes could make it easier for visitors to call, message, or request a quote. I can send a quick idea if you want.</t>
  </si>
  <si>
    <t>Quick contact flow idea</t>
  </si>
  <si>
    <t>Hey, I came across your business and noticed your website could make it easier for visitors to become leads. I build simple website improvements for local businesses that want more calls, quote requests, and messages. Want me to send the idea over?</t>
  </si>
  <si>
    <t>Just following up on this. I can send a quick idea showing how your site could guide people toward contacting you more easily.</t>
  </si>
  <si>
    <t>Totally understand if now is not the right time. If you ever want your website to make it easier for customers to reach out, I can help.</t>
  </si>
  <si>
    <t>Based on what I saw, I recommend improving the contact flow with clearer buttons, stronger calls-to-action, and a simpler mobile layout. I can do it for $____ and have the first version ready by ____.</t>
  </si>
  <si>
    <t>Hey — quick question. I came across your business and checked your site on mobile. I noticed a few things that could make it easier for customers to trust you and reach out. Would you be open to a quick idea?</t>
  </si>
  <si>
    <t>Hey, I looked at your website on mobile and noticed a few areas that could be cleaner, easier to read, and easier to contact from. I can send a quick redesign idea if you want.</t>
  </si>
  <si>
    <t>Quick mobile website idea</t>
  </si>
  <si>
    <t>Hey, I came across your business and checked out your website on mobile. A lot of customers visit from their phones, and I had a quick idea to make your site easier to use, easier to trust, and better at turning visitors into calls. Want me to send it over?</t>
  </si>
  <si>
    <t>Just following up on this. I can send a quick visual idea for improving the mobile version of your site, no pressure.</t>
  </si>
  <si>
    <t>Totally understand if now is not the right time. If you ever want a cleaner mobile website that helps more customers contact you, I can help.</t>
  </si>
  <si>
    <t>Based on what I saw, I recommend a mobile-focused redesign with cleaner sections, clearer service info, stronger trust elements, and easier call/contact buttons. I can do it for $____ and have the first version ready by ____.</t>
  </si>
  <si>
    <t>Hey — quick question. I came across your business and noticed you may not have a full website yet. Would you be open to a simple idea that could help customers find and contact you more easily?</t>
  </si>
  <si>
    <t>Hey, I noticed your business seems to rely mostly on social media or listings. A simple website could help people see your services, trust your business, and contact you faster. I can send a quick idea if you want.</t>
  </si>
  <si>
    <t>Simple website idea</t>
  </si>
  <si>
    <t>Hey, I came across your business and noticed you may not have a simple website set up yet. I build clean starter websites for local businesses that want a professional online presence, clear service info, and an easy way for customers to call or request a quote. Want me to send an idea over?</t>
  </si>
  <si>
    <t>Just following up on this. I can send a quick example of what a simple website for your business could look like.</t>
  </si>
  <si>
    <t>Totally understand if now is not the right time. If you ever want a simple website that makes your business look more professional and easier to contact, I can help.</t>
  </si>
  <si>
    <t>Based on what I saw, I recommend a simple starter website with your services, contact buttons, trust sections, and mobile-friendly layout. I can do it for $____ and have the first version ready by ____.</t>
  </si>
  <si>
    <t>Use Case 1: Local Business Website Redesign</t>
  </si>
  <si>
    <t>Use Case 2: Business With an Outdated Website</t>
  </si>
  <si>
    <t>Use Case 3: Business With No Clear Contact Flow</t>
  </si>
  <si>
    <t>Use Case 4: Business With Weak Mobile Experience</t>
  </si>
  <si>
    <t>Use Case 5: Business With No Website or Very Basic Online Presence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</si>
</sst>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\$#,##0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5F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/>
    <xf numFmtId="0" fontId="1" fillId="2" borderId="0" xfId="0" applyFont="1" applyFill="1"/>
    <xf numFmtId="0" fontId="1" fillId="2" borderId="0" xfId="0" applyFont="1" applyFill="1" applyAlignment="1">
      <alignment wrapText="1"/>
    </xf>
    <xf numFmtId="164" fontId="0" fillId="0" borderId="0" xfId="0" applyNumberFormat="1"/>
    <xf numFmtId="165" fontId="0" fillId="0" borderId="0" xfId="0" applyNumberFormat="1"/>
    <xf numFmtId="9" fontId="0" fillId="0" borderId="0" xfId="0" applyNumberFormat="1"/>
    <xf numFmtId="0" fontId="1" fillId="2" borderId="4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center" wrapText="1"/>
    </xf>
    <xf numFmtId="0" fontId="0" fillId="0" borderId="5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top" wrapText="1"/>
    </xf>
    <xf numFmtId="0" fontId="0" fillId="0" borderId="5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1" fillId="2" borderId="9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1" fillId="2" borderId="10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1"/>
  <sheetViews>
    <sheetView tabSelected="1" workbookViewId="0">
      <selection activeCell="L14" sqref="L14"/>
    </sheetView>
  </sheetViews>
  <sheetFormatPr defaultRowHeight="13.8"/>
  <cols>
    <col min="1" max="1" width="8" customWidth="1"/>
    <col min="2" max="2" width="24" customWidth="1"/>
    <col min="3" max="3" width="16" customWidth="1"/>
    <col min="4" max="5" width="28" customWidth="1"/>
    <col min="6" max="6" width="36" customWidth="1"/>
    <col min="7" max="8" width="16" customWidth="1"/>
    <col min="9" max="9" width="18" customWidth="1"/>
    <col min="10" max="10" width="16" customWidth="1"/>
    <col min="11" max="11" width="14" customWidth="1"/>
    <col min="12" max="12" width="32" customWidth="1"/>
  </cols>
  <sheetData>
    <row r="1" spans="1:12" ht="27.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>
      <c r="A2">
        <v>1</v>
      </c>
      <c r="C2" t="s">
        <v>12</v>
      </c>
      <c r="G2" s="4"/>
      <c r="H2" t="s">
        <v>4</v>
      </c>
      <c r="I2" t="s">
        <v>13</v>
      </c>
      <c r="J2" s="4"/>
      <c r="K2" s="5"/>
    </row>
    <row r="3" spans="1:12">
      <c r="A3">
        <v>2</v>
      </c>
      <c r="C3" t="s">
        <v>14</v>
      </c>
      <c r="G3" s="4"/>
      <c r="H3" t="s">
        <v>4</v>
      </c>
      <c r="I3" t="s">
        <v>13</v>
      </c>
      <c r="J3" s="4"/>
      <c r="K3" s="5"/>
    </row>
    <row r="4" spans="1:12">
      <c r="A4">
        <v>3</v>
      </c>
      <c r="C4" t="s">
        <v>15</v>
      </c>
      <c r="G4" s="4"/>
      <c r="H4" t="s">
        <v>4</v>
      </c>
      <c r="I4" t="s">
        <v>13</v>
      </c>
      <c r="J4" s="4"/>
      <c r="K4" s="5"/>
    </row>
    <row r="5" spans="1:12">
      <c r="A5">
        <v>4</v>
      </c>
      <c r="C5" t="s">
        <v>16</v>
      </c>
      <c r="G5" s="4"/>
      <c r="H5" t="s">
        <v>4</v>
      </c>
      <c r="I5" t="s">
        <v>13</v>
      </c>
      <c r="J5" s="4"/>
      <c r="K5" s="5"/>
    </row>
    <row r="6" spans="1:12">
      <c r="A6">
        <v>5</v>
      </c>
      <c r="C6" t="s">
        <v>17</v>
      </c>
      <c r="G6" s="4"/>
      <c r="H6" t="s">
        <v>4</v>
      </c>
      <c r="I6" t="s">
        <v>13</v>
      </c>
      <c r="J6" s="4"/>
      <c r="K6" s="5"/>
    </row>
    <row r="7" spans="1:12">
      <c r="A7">
        <v>6</v>
      </c>
      <c r="C7" t="s">
        <v>18</v>
      </c>
      <c r="G7" s="4"/>
      <c r="H7" t="s">
        <v>4</v>
      </c>
      <c r="I7" t="s">
        <v>13</v>
      </c>
      <c r="J7" s="4"/>
      <c r="K7" s="5"/>
    </row>
    <row r="8" spans="1:12">
      <c r="A8">
        <v>7</v>
      </c>
      <c r="C8" t="s">
        <v>19</v>
      </c>
      <c r="G8" s="4"/>
      <c r="H8" t="s">
        <v>4</v>
      </c>
      <c r="I8" t="s">
        <v>13</v>
      </c>
      <c r="J8" s="4"/>
      <c r="K8" s="5"/>
    </row>
    <row r="9" spans="1:12">
      <c r="A9">
        <v>8</v>
      </c>
      <c r="C9" t="s">
        <v>20</v>
      </c>
      <c r="G9" s="4"/>
      <c r="H9" t="s">
        <v>4</v>
      </c>
      <c r="I9" t="s">
        <v>13</v>
      </c>
      <c r="J9" s="4"/>
      <c r="K9" s="5"/>
    </row>
    <row r="10" spans="1:12">
      <c r="A10">
        <v>9</v>
      </c>
      <c r="C10" t="s">
        <v>21</v>
      </c>
      <c r="G10" s="4"/>
      <c r="H10" t="s">
        <v>4</v>
      </c>
      <c r="I10" t="s">
        <v>13</v>
      </c>
      <c r="J10" s="4"/>
      <c r="K10" s="5"/>
    </row>
    <row r="11" spans="1:12">
      <c r="A11">
        <v>10</v>
      </c>
      <c r="C11" t="s">
        <v>22</v>
      </c>
      <c r="G11" s="4"/>
      <c r="H11" t="s">
        <v>4</v>
      </c>
      <c r="I11" t="s">
        <v>13</v>
      </c>
      <c r="J11" s="4"/>
      <c r="K11" s="5"/>
    </row>
    <row r="12" spans="1:12">
      <c r="A12">
        <v>11</v>
      </c>
      <c r="C12" t="s">
        <v>12</v>
      </c>
      <c r="G12" s="4"/>
      <c r="H12" t="s">
        <v>4</v>
      </c>
      <c r="I12" t="s">
        <v>13</v>
      </c>
      <c r="J12" s="4"/>
      <c r="K12" s="5"/>
    </row>
    <row r="13" spans="1:12">
      <c r="A13">
        <v>12</v>
      </c>
      <c r="C13" t="s">
        <v>14</v>
      </c>
      <c r="G13" s="4"/>
      <c r="H13" t="s">
        <v>4</v>
      </c>
      <c r="I13" t="s">
        <v>13</v>
      </c>
      <c r="J13" s="4"/>
      <c r="K13" s="5"/>
    </row>
    <row r="14" spans="1:12">
      <c r="A14">
        <v>13</v>
      </c>
      <c r="C14" t="s">
        <v>15</v>
      </c>
      <c r="G14" s="4"/>
      <c r="H14" t="s">
        <v>4</v>
      </c>
      <c r="I14" t="s">
        <v>13</v>
      </c>
      <c r="J14" s="4"/>
      <c r="K14" s="5"/>
    </row>
    <row r="15" spans="1:12">
      <c r="A15">
        <v>14</v>
      </c>
      <c r="C15" t="s">
        <v>16</v>
      </c>
      <c r="G15" s="4"/>
      <c r="H15" t="s">
        <v>4</v>
      </c>
      <c r="I15" t="s">
        <v>13</v>
      </c>
      <c r="J15" s="4"/>
      <c r="K15" s="5"/>
    </row>
    <row r="16" spans="1:12">
      <c r="A16">
        <v>15</v>
      </c>
      <c r="C16" t="s">
        <v>17</v>
      </c>
      <c r="G16" s="4"/>
      <c r="H16" t="s">
        <v>4</v>
      </c>
      <c r="I16" t="s">
        <v>13</v>
      </c>
      <c r="J16" s="4"/>
      <c r="K16" s="5"/>
    </row>
    <row r="17" spans="1:11">
      <c r="A17">
        <v>16</v>
      </c>
      <c r="C17" t="s">
        <v>18</v>
      </c>
      <c r="G17" s="4"/>
      <c r="H17" t="s">
        <v>4</v>
      </c>
      <c r="I17" t="s">
        <v>13</v>
      </c>
      <c r="J17" s="4"/>
      <c r="K17" s="5"/>
    </row>
    <row r="18" spans="1:11">
      <c r="A18">
        <v>17</v>
      </c>
      <c r="C18" t="s">
        <v>19</v>
      </c>
      <c r="G18" s="4"/>
      <c r="H18" t="s">
        <v>4</v>
      </c>
      <c r="I18" t="s">
        <v>13</v>
      </c>
      <c r="J18" s="4"/>
      <c r="K18" s="5"/>
    </row>
    <row r="19" spans="1:11">
      <c r="A19">
        <v>18</v>
      </c>
      <c r="C19" t="s">
        <v>20</v>
      </c>
      <c r="G19" s="4"/>
      <c r="H19" t="s">
        <v>4</v>
      </c>
      <c r="I19" t="s">
        <v>13</v>
      </c>
      <c r="J19" s="4"/>
      <c r="K19" s="5"/>
    </row>
    <row r="20" spans="1:11">
      <c r="A20">
        <v>19</v>
      </c>
      <c r="C20" t="s">
        <v>21</v>
      </c>
      <c r="G20" s="4"/>
      <c r="H20" t="s">
        <v>4</v>
      </c>
      <c r="I20" t="s">
        <v>13</v>
      </c>
      <c r="J20" s="4"/>
      <c r="K20" s="5"/>
    </row>
    <row r="21" spans="1:11">
      <c r="A21">
        <v>20</v>
      </c>
      <c r="C21" t="s">
        <v>22</v>
      </c>
      <c r="G21" s="4"/>
      <c r="H21" t="s">
        <v>4</v>
      </c>
      <c r="I21" t="s">
        <v>13</v>
      </c>
      <c r="J21" s="4"/>
      <c r="K21" s="5"/>
    </row>
    <row r="22" spans="1:11">
      <c r="A22">
        <v>21</v>
      </c>
      <c r="C22" t="s">
        <v>12</v>
      </c>
      <c r="G22" s="4"/>
      <c r="H22" t="s">
        <v>4</v>
      </c>
      <c r="I22" t="s">
        <v>13</v>
      </c>
      <c r="J22" s="4"/>
      <c r="K22" s="5"/>
    </row>
    <row r="23" spans="1:11">
      <c r="A23">
        <v>22</v>
      </c>
      <c r="C23" t="s">
        <v>14</v>
      </c>
      <c r="G23" s="4"/>
      <c r="H23" t="s">
        <v>4</v>
      </c>
      <c r="I23" t="s">
        <v>13</v>
      </c>
      <c r="J23" s="4"/>
      <c r="K23" s="5"/>
    </row>
    <row r="24" spans="1:11">
      <c r="A24">
        <v>23</v>
      </c>
      <c r="C24" t="s">
        <v>15</v>
      </c>
      <c r="G24" s="4"/>
      <c r="H24" t="s">
        <v>4</v>
      </c>
      <c r="I24" t="s">
        <v>13</v>
      </c>
      <c r="J24" s="4"/>
      <c r="K24" s="5"/>
    </row>
    <row r="25" spans="1:11">
      <c r="A25">
        <v>24</v>
      </c>
      <c r="C25" t="s">
        <v>16</v>
      </c>
      <c r="G25" s="4"/>
      <c r="H25" t="s">
        <v>4</v>
      </c>
      <c r="I25" t="s">
        <v>13</v>
      </c>
      <c r="J25" s="4"/>
      <c r="K25" s="5"/>
    </row>
    <row r="26" spans="1:11">
      <c r="A26">
        <v>25</v>
      </c>
      <c r="C26" t="s">
        <v>17</v>
      </c>
      <c r="G26" s="4"/>
      <c r="H26" t="s">
        <v>4</v>
      </c>
      <c r="I26" t="s">
        <v>13</v>
      </c>
      <c r="J26" s="4"/>
      <c r="K26" s="5"/>
    </row>
    <row r="27" spans="1:11">
      <c r="A27">
        <v>26</v>
      </c>
      <c r="C27" t="s">
        <v>18</v>
      </c>
      <c r="G27" s="4"/>
      <c r="H27" t="s">
        <v>4</v>
      </c>
      <c r="I27" t="s">
        <v>13</v>
      </c>
      <c r="J27" s="4"/>
      <c r="K27" s="5"/>
    </row>
    <row r="28" spans="1:11">
      <c r="A28">
        <v>27</v>
      </c>
      <c r="C28" t="s">
        <v>19</v>
      </c>
      <c r="G28" s="4"/>
      <c r="H28" t="s">
        <v>4</v>
      </c>
      <c r="I28" t="s">
        <v>13</v>
      </c>
      <c r="J28" s="4"/>
      <c r="K28" s="5"/>
    </row>
    <row r="29" spans="1:11">
      <c r="A29">
        <v>28</v>
      </c>
      <c r="C29" t="s">
        <v>20</v>
      </c>
      <c r="G29" s="4"/>
      <c r="H29" t="s">
        <v>4</v>
      </c>
      <c r="I29" t="s">
        <v>13</v>
      </c>
      <c r="J29" s="4"/>
      <c r="K29" s="5"/>
    </row>
    <row r="30" spans="1:11">
      <c r="A30">
        <v>29</v>
      </c>
      <c r="C30" t="s">
        <v>21</v>
      </c>
      <c r="G30" s="4"/>
      <c r="H30" t="s">
        <v>4</v>
      </c>
      <c r="I30" t="s">
        <v>13</v>
      </c>
      <c r="J30" s="4"/>
      <c r="K30" s="5"/>
    </row>
    <row r="31" spans="1:11">
      <c r="A31">
        <v>30</v>
      </c>
      <c r="C31" t="s">
        <v>22</v>
      </c>
      <c r="G31" s="4"/>
      <c r="H31" t="s">
        <v>4</v>
      </c>
      <c r="I31" t="s">
        <v>13</v>
      </c>
      <c r="J31" s="4"/>
      <c r="K31" s="5"/>
    </row>
    <row r="32" spans="1:11">
      <c r="A32">
        <v>31</v>
      </c>
      <c r="C32" t="s">
        <v>12</v>
      </c>
      <c r="G32" s="4"/>
      <c r="H32" t="s">
        <v>4</v>
      </c>
      <c r="I32" t="s">
        <v>13</v>
      </c>
      <c r="J32" s="4"/>
      <c r="K32" s="5"/>
    </row>
    <row r="33" spans="1:11">
      <c r="A33">
        <v>32</v>
      </c>
      <c r="C33" t="s">
        <v>14</v>
      </c>
      <c r="G33" s="4"/>
      <c r="H33" t="s">
        <v>4</v>
      </c>
      <c r="I33" t="s">
        <v>13</v>
      </c>
      <c r="J33" s="4"/>
      <c r="K33" s="5"/>
    </row>
    <row r="34" spans="1:11">
      <c r="A34">
        <v>33</v>
      </c>
      <c r="C34" t="s">
        <v>15</v>
      </c>
      <c r="G34" s="4"/>
      <c r="H34" t="s">
        <v>4</v>
      </c>
      <c r="I34" t="s">
        <v>13</v>
      </c>
      <c r="J34" s="4"/>
      <c r="K34" s="5"/>
    </row>
    <row r="35" spans="1:11">
      <c r="A35">
        <v>34</v>
      </c>
      <c r="C35" t="s">
        <v>16</v>
      </c>
      <c r="G35" s="4"/>
      <c r="H35" t="s">
        <v>4</v>
      </c>
      <c r="I35" t="s">
        <v>13</v>
      </c>
      <c r="J35" s="4"/>
      <c r="K35" s="5"/>
    </row>
    <row r="36" spans="1:11">
      <c r="A36">
        <v>35</v>
      </c>
      <c r="C36" t="s">
        <v>17</v>
      </c>
      <c r="G36" s="4"/>
      <c r="H36" t="s">
        <v>4</v>
      </c>
      <c r="I36" t="s">
        <v>13</v>
      </c>
      <c r="J36" s="4"/>
      <c r="K36" s="5"/>
    </row>
    <row r="37" spans="1:11">
      <c r="A37">
        <v>36</v>
      </c>
      <c r="C37" t="s">
        <v>18</v>
      </c>
      <c r="G37" s="4"/>
      <c r="H37" t="s">
        <v>4</v>
      </c>
      <c r="I37" t="s">
        <v>13</v>
      </c>
      <c r="J37" s="4"/>
      <c r="K37" s="5"/>
    </row>
    <row r="38" spans="1:11">
      <c r="A38">
        <v>37</v>
      </c>
      <c r="C38" t="s">
        <v>19</v>
      </c>
      <c r="G38" s="4"/>
      <c r="H38" t="s">
        <v>4</v>
      </c>
      <c r="I38" t="s">
        <v>13</v>
      </c>
      <c r="J38" s="4"/>
      <c r="K38" s="5"/>
    </row>
    <row r="39" spans="1:11">
      <c r="A39">
        <v>38</v>
      </c>
      <c r="C39" t="s">
        <v>20</v>
      </c>
      <c r="G39" s="4"/>
      <c r="H39" t="s">
        <v>4</v>
      </c>
      <c r="I39" t="s">
        <v>13</v>
      </c>
      <c r="J39" s="4"/>
      <c r="K39" s="5"/>
    </row>
    <row r="40" spans="1:11">
      <c r="A40">
        <v>39</v>
      </c>
      <c r="C40" t="s">
        <v>21</v>
      </c>
      <c r="G40" s="4"/>
      <c r="H40" t="s">
        <v>4</v>
      </c>
      <c r="I40" t="s">
        <v>13</v>
      </c>
      <c r="J40" s="4"/>
      <c r="K40" s="5"/>
    </row>
    <row r="41" spans="1:11">
      <c r="A41">
        <v>40</v>
      </c>
      <c r="C41" t="s">
        <v>22</v>
      </c>
      <c r="G41" s="4"/>
      <c r="H41" t="s">
        <v>4</v>
      </c>
      <c r="I41" t="s">
        <v>13</v>
      </c>
      <c r="J41" s="4"/>
      <c r="K41" s="5"/>
    </row>
    <row r="42" spans="1:11">
      <c r="A42">
        <v>41</v>
      </c>
      <c r="C42" t="s">
        <v>12</v>
      </c>
      <c r="G42" s="4"/>
      <c r="H42" t="s">
        <v>4</v>
      </c>
      <c r="I42" t="s">
        <v>13</v>
      </c>
      <c r="J42" s="4"/>
      <c r="K42" s="5"/>
    </row>
    <row r="43" spans="1:11">
      <c r="A43">
        <v>42</v>
      </c>
      <c r="C43" t="s">
        <v>14</v>
      </c>
      <c r="G43" s="4"/>
      <c r="H43" t="s">
        <v>4</v>
      </c>
      <c r="I43" t="s">
        <v>13</v>
      </c>
      <c r="J43" s="4"/>
      <c r="K43" s="5"/>
    </row>
    <row r="44" spans="1:11">
      <c r="A44">
        <v>43</v>
      </c>
      <c r="C44" t="s">
        <v>15</v>
      </c>
      <c r="G44" s="4"/>
      <c r="H44" t="s">
        <v>4</v>
      </c>
      <c r="I44" t="s">
        <v>13</v>
      </c>
      <c r="J44" s="4"/>
      <c r="K44" s="5"/>
    </row>
    <row r="45" spans="1:11">
      <c r="A45">
        <v>44</v>
      </c>
      <c r="C45" t="s">
        <v>16</v>
      </c>
      <c r="G45" s="4"/>
      <c r="H45" t="s">
        <v>4</v>
      </c>
      <c r="I45" t="s">
        <v>13</v>
      </c>
      <c r="J45" s="4"/>
      <c r="K45" s="5"/>
    </row>
    <row r="46" spans="1:11">
      <c r="A46">
        <v>45</v>
      </c>
      <c r="C46" t="s">
        <v>17</v>
      </c>
      <c r="G46" s="4"/>
      <c r="H46" t="s">
        <v>4</v>
      </c>
      <c r="I46" t="s">
        <v>13</v>
      </c>
      <c r="J46" s="4"/>
      <c r="K46" s="5"/>
    </row>
    <row r="47" spans="1:11">
      <c r="A47">
        <v>46</v>
      </c>
      <c r="C47" t="s">
        <v>18</v>
      </c>
      <c r="G47" s="4"/>
      <c r="H47" t="s">
        <v>4</v>
      </c>
      <c r="I47" t="s">
        <v>13</v>
      </c>
      <c r="J47" s="4"/>
      <c r="K47" s="5"/>
    </row>
    <row r="48" spans="1:11">
      <c r="A48">
        <v>47</v>
      </c>
      <c r="C48" t="s">
        <v>19</v>
      </c>
      <c r="G48" s="4"/>
      <c r="H48" t="s">
        <v>4</v>
      </c>
      <c r="I48" t="s">
        <v>13</v>
      </c>
      <c r="J48" s="4"/>
      <c r="K48" s="5"/>
    </row>
    <row r="49" spans="1:11">
      <c r="A49">
        <v>48</v>
      </c>
      <c r="C49" t="s">
        <v>20</v>
      </c>
      <c r="G49" s="4"/>
      <c r="H49" t="s">
        <v>4</v>
      </c>
      <c r="I49" t="s">
        <v>13</v>
      </c>
      <c r="J49" s="4"/>
      <c r="K49" s="5"/>
    </row>
    <row r="50" spans="1:11">
      <c r="A50">
        <v>49</v>
      </c>
      <c r="C50" t="s">
        <v>21</v>
      </c>
      <c r="G50" s="4"/>
      <c r="H50" t="s">
        <v>4</v>
      </c>
      <c r="I50" t="s">
        <v>13</v>
      </c>
      <c r="J50" s="4"/>
      <c r="K50" s="5"/>
    </row>
    <row r="51" spans="1:11">
      <c r="A51">
        <v>50</v>
      </c>
      <c r="C51" t="s">
        <v>22</v>
      </c>
      <c r="G51" s="4"/>
      <c r="H51" t="s">
        <v>4</v>
      </c>
      <c r="I51" t="s">
        <v>13</v>
      </c>
      <c r="J51" s="4"/>
      <c r="K51" s="5"/>
    </row>
  </sheetData>
  <dataValidations count="2">
    <dataValidation type="list" sqref="I2:I51" xr:uid="{00000000-0002-0000-0000-000000000000}">
      <formula1>"Not Contacted,Messaged,Replied,Call Booked,Proposal Sent,Won,Lost,Follow Up Later"</formula1>
    </dataValidation>
    <dataValidation type="list" sqref="H2:H51" xr:uid="{00000000-0002-0000-0000-000001000000}">
      <formula1>"Instagram,Email,Google Maps,Referral,Other"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8"/>
  <sheetViews>
    <sheetView topLeftCell="A41" zoomScale="129" workbookViewId="0">
      <selection activeCell="A41" sqref="A41"/>
    </sheetView>
  </sheetViews>
  <sheetFormatPr defaultRowHeight="13.8"/>
  <cols>
    <col min="1" max="1" width="63.5" style="15" bestFit="1" customWidth="1"/>
    <col min="2" max="2" width="107.3984375" style="10" customWidth="1"/>
  </cols>
  <sheetData>
    <row r="1" spans="1:2">
      <c r="A1" s="12" t="s">
        <v>77</v>
      </c>
      <c r="B1" s="7" t="s">
        <v>23</v>
      </c>
    </row>
    <row r="2" spans="1:2" ht="27.6">
      <c r="A2" s="13" t="s">
        <v>24</v>
      </c>
      <c r="B2" s="8" t="s">
        <v>25</v>
      </c>
    </row>
    <row r="3" spans="1:2" ht="27.6">
      <c r="A3" s="13" t="s">
        <v>26</v>
      </c>
      <c r="B3" s="8" t="s">
        <v>27</v>
      </c>
    </row>
    <row r="4" spans="1:2">
      <c r="A4" s="13" t="s">
        <v>28</v>
      </c>
      <c r="B4" s="8" t="s">
        <v>29</v>
      </c>
    </row>
    <row r="5" spans="1:2" ht="27.6">
      <c r="A5" s="13" t="s">
        <v>30</v>
      </c>
      <c r="B5" s="8" t="s">
        <v>31</v>
      </c>
    </row>
    <row r="6" spans="1:2">
      <c r="A6" s="13" t="s">
        <v>32</v>
      </c>
      <c r="B6" s="8" t="s">
        <v>33</v>
      </c>
    </row>
    <row r="7" spans="1:2" ht="27.6">
      <c r="A7" s="13" t="s">
        <v>34</v>
      </c>
      <c r="B7" s="8" t="s">
        <v>35</v>
      </c>
    </row>
    <row r="8" spans="1:2" ht="28.2" thickBot="1">
      <c r="A8" s="14" t="s">
        <v>36</v>
      </c>
      <c r="B8" s="9" t="s">
        <v>37</v>
      </c>
    </row>
    <row r="10" spans="1:2" ht="14.4" thickBot="1"/>
    <row r="11" spans="1:2" ht="14.4" thickBot="1">
      <c r="A11" s="20" t="s">
        <v>78</v>
      </c>
      <c r="B11" s="24" t="s">
        <v>23</v>
      </c>
    </row>
    <row r="12" spans="1:2" s="1" customFormat="1" ht="27.6">
      <c r="A12" s="23" t="s">
        <v>24</v>
      </c>
      <c r="B12" s="17" t="s">
        <v>49</v>
      </c>
    </row>
    <row r="13" spans="1:2" s="1" customFormat="1" ht="27.6">
      <c r="A13" s="13" t="s">
        <v>26</v>
      </c>
      <c r="B13" s="8" t="s">
        <v>50</v>
      </c>
    </row>
    <row r="14" spans="1:2" s="1" customFormat="1">
      <c r="A14" s="13" t="s">
        <v>28</v>
      </c>
      <c r="B14" s="8" t="s">
        <v>51</v>
      </c>
    </row>
    <row r="15" spans="1:2" s="1" customFormat="1" ht="27.6">
      <c r="A15" s="13" t="s">
        <v>30</v>
      </c>
      <c r="B15" s="8" t="s">
        <v>52</v>
      </c>
    </row>
    <row r="16" spans="1:2" s="1" customFormat="1">
      <c r="A16" s="13" t="s">
        <v>32</v>
      </c>
      <c r="B16" s="8" t="s">
        <v>53</v>
      </c>
    </row>
    <row r="17" spans="1:2" s="1" customFormat="1">
      <c r="A17" s="13" t="s">
        <v>34</v>
      </c>
      <c r="B17" s="8" t="s">
        <v>54</v>
      </c>
    </row>
    <row r="18" spans="1:2" s="1" customFormat="1" ht="28.2" thickBot="1">
      <c r="A18" s="14" t="s">
        <v>36</v>
      </c>
      <c r="B18" s="9" t="s">
        <v>55</v>
      </c>
    </row>
    <row r="19" spans="1:2" s="1" customFormat="1">
      <c r="A19" s="22"/>
      <c r="B19" s="11"/>
    </row>
    <row r="20" spans="1:2" ht="14.4" thickBot="1"/>
    <row r="21" spans="1:2" ht="14.4" thickBot="1">
      <c r="A21" s="20" t="s">
        <v>79</v>
      </c>
      <c r="B21" s="21" t="s">
        <v>23</v>
      </c>
    </row>
    <row r="22" spans="1:2" ht="27.6">
      <c r="A22" s="16" t="s">
        <v>24</v>
      </c>
      <c r="B22" s="17" t="s">
        <v>56</v>
      </c>
    </row>
    <row r="23" spans="1:2" ht="27.6">
      <c r="A23" s="18" t="s">
        <v>26</v>
      </c>
      <c r="B23" s="8" t="s">
        <v>57</v>
      </c>
    </row>
    <row r="24" spans="1:2">
      <c r="A24" s="18" t="s">
        <v>28</v>
      </c>
      <c r="B24" s="8" t="s">
        <v>58</v>
      </c>
    </row>
    <row r="25" spans="1:2" ht="27.6">
      <c r="A25" s="18" t="s">
        <v>30</v>
      </c>
      <c r="B25" s="8" t="s">
        <v>59</v>
      </c>
    </row>
    <row r="26" spans="1:2">
      <c r="A26" s="18" t="s">
        <v>32</v>
      </c>
      <c r="B26" s="8" t="s">
        <v>60</v>
      </c>
    </row>
    <row r="27" spans="1:2">
      <c r="A27" s="18" t="s">
        <v>34</v>
      </c>
      <c r="B27" s="8" t="s">
        <v>61</v>
      </c>
    </row>
    <row r="28" spans="1:2" ht="28.2" thickBot="1">
      <c r="A28" s="19" t="s">
        <v>36</v>
      </c>
      <c r="B28" s="9" t="s">
        <v>62</v>
      </c>
    </row>
    <row r="30" spans="1:2" ht="14.4" thickBot="1"/>
    <row r="31" spans="1:2" ht="14.4" thickBot="1">
      <c r="A31" s="20" t="s">
        <v>80</v>
      </c>
      <c r="B31" s="21" t="s">
        <v>23</v>
      </c>
    </row>
    <row r="32" spans="1:2" ht="27.6">
      <c r="A32" s="16" t="s">
        <v>24</v>
      </c>
      <c r="B32" s="17" t="s">
        <v>63</v>
      </c>
    </row>
    <row r="33" spans="1:2" ht="27.6">
      <c r="A33" s="18" t="s">
        <v>26</v>
      </c>
      <c r="B33" s="8" t="s">
        <v>64</v>
      </c>
    </row>
    <row r="34" spans="1:2">
      <c r="A34" s="18" t="s">
        <v>28</v>
      </c>
      <c r="B34" s="8" t="s">
        <v>65</v>
      </c>
    </row>
    <row r="35" spans="1:2" ht="27.6">
      <c r="A35" s="18" t="s">
        <v>30</v>
      </c>
      <c r="B35" s="8" t="s">
        <v>66</v>
      </c>
    </row>
    <row r="36" spans="1:2">
      <c r="A36" s="18" t="s">
        <v>32</v>
      </c>
      <c r="B36" s="8" t="s">
        <v>67</v>
      </c>
    </row>
    <row r="37" spans="1:2" ht="27.6">
      <c r="A37" s="18" t="s">
        <v>34</v>
      </c>
      <c r="B37" s="8" t="s">
        <v>68</v>
      </c>
    </row>
    <row r="38" spans="1:2" ht="28.2" thickBot="1">
      <c r="A38" s="19" t="s">
        <v>36</v>
      </c>
      <c r="B38" s="9" t="s">
        <v>69</v>
      </c>
    </row>
    <row r="40" spans="1:2" ht="14.4" thickBot="1"/>
    <row r="41" spans="1:2" ht="14.4" thickBot="1">
      <c r="A41" s="20" t="s">
        <v>81</v>
      </c>
      <c r="B41" s="21" t="s">
        <v>23</v>
      </c>
    </row>
    <row r="42" spans="1:2" ht="27.6">
      <c r="A42" s="16" t="s">
        <v>24</v>
      </c>
      <c r="B42" s="17" t="s">
        <v>70</v>
      </c>
    </row>
    <row r="43" spans="1:2" ht="27.6">
      <c r="A43" s="18" t="s">
        <v>26</v>
      </c>
      <c r="B43" s="8" t="s">
        <v>71</v>
      </c>
    </row>
    <row r="44" spans="1:2">
      <c r="A44" s="18" t="s">
        <v>28</v>
      </c>
      <c r="B44" s="8" t="s">
        <v>72</v>
      </c>
    </row>
    <row r="45" spans="1:2" ht="41.4">
      <c r="A45" s="18" t="s">
        <v>30</v>
      </c>
      <c r="B45" s="8" t="s">
        <v>73</v>
      </c>
    </row>
    <row r="46" spans="1:2">
      <c r="A46" s="18" t="s">
        <v>32</v>
      </c>
      <c r="B46" s="8" t="s">
        <v>74</v>
      </c>
    </row>
    <row r="47" spans="1:2" ht="27.6">
      <c r="A47" s="18" t="s">
        <v>34</v>
      </c>
      <c r="B47" s="8" t="s">
        <v>75</v>
      </c>
    </row>
    <row r="48" spans="1:2" ht="28.2" thickBot="1">
      <c r="A48" s="19" t="s">
        <v>36</v>
      </c>
      <c r="B48" s="9" t="s">
        <v>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"/>
  <sheetViews>
    <sheetView workbookViewId="0">
      <selection activeCell="C7" sqref="C7"/>
    </sheetView>
  </sheetViews>
  <sheetFormatPr defaultRowHeight="13.8"/>
  <cols>
    <col min="1" max="1" width="13.19921875" bestFit="1" customWidth="1"/>
    <col min="2" max="2" width="5.8984375" bestFit="1" customWidth="1"/>
  </cols>
  <sheetData>
    <row r="1" spans="1:2">
      <c r="A1" s="2" t="s">
        <v>38</v>
      </c>
      <c r="B1" s="2" t="s">
        <v>39</v>
      </c>
    </row>
    <row r="2" spans="1:2">
      <c r="A2" t="s">
        <v>40</v>
      </c>
      <c r="B2">
        <f>COUNTA(Leads!A2:A51)</f>
        <v>50</v>
      </c>
    </row>
    <row r="3" spans="1:2">
      <c r="A3" t="s">
        <v>41</v>
      </c>
      <c r="B3">
        <f>COUNTIF(Leads!I2:I51,"Messaged")</f>
        <v>0</v>
      </c>
    </row>
    <row r="4" spans="1:2">
      <c r="A4" t="s">
        <v>42</v>
      </c>
      <c r="B4">
        <f>COUNTIF(Leads!I2:I51,"Replied")</f>
        <v>0</v>
      </c>
    </row>
    <row r="5" spans="1:2">
      <c r="A5" t="s">
        <v>43</v>
      </c>
      <c r="B5">
        <f>COUNTIF(Leads!I2:I51,"Call Booked")</f>
        <v>0</v>
      </c>
    </row>
    <row r="6" spans="1:2">
      <c r="A6" t="s">
        <v>44</v>
      </c>
      <c r="B6">
        <f>COUNTIF(Leads!I2:I51,"Proposal Sent")</f>
        <v>0</v>
      </c>
    </row>
    <row r="7" spans="1:2">
      <c r="A7" t="s">
        <v>45</v>
      </c>
      <c r="B7">
        <f>COUNTIF(Leads!I2:I51,"Won")</f>
        <v>0</v>
      </c>
    </row>
    <row r="8" spans="1:2">
      <c r="A8" t="s">
        <v>46</v>
      </c>
      <c r="B8">
        <f>COUNTIF(Leads!I2:I51,"Lost")</f>
        <v>0</v>
      </c>
    </row>
    <row r="9" spans="1:2">
      <c r="A9" t="s">
        <v>47</v>
      </c>
      <c r="B9" s="6">
        <f>IFERROR(B7/(B7+B8),0)</f>
        <v>0</v>
      </c>
    </row>
    <row r="10" spans="1:2">
      <c r="A10" t="s">
        <v>48</v>
      </c>
      <c r="B10" s="5">
        <f>SUMIF(Leads!I2:I51,"Proposal Sent",Leads!K2:K51)+SUMIF(Leads!I2:I51,"Won",Leads!K2:K51)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Leads</vt:lpstr>
      <vt:lpstr>Outreach Scripts</vt:lpstr>
      <vt:lpstr>Pipeline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FirstClientLab</dc:creator>
  <cp:lastModifiedBy>Axel Burgos</cp:lastModifiedBy>
  <dcterms:modified xsi:type="dcterms:W3CDTF">2026-06-24T06:51:11Z</dcterms:modified>
</cp:coreProperties>
</file>